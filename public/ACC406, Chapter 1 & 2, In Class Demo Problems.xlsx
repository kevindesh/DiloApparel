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C406\In Class Demo Problems\"/>
    </mc:Choice>
  </mc:AlternateContent>
  <xr:revisionPtr revIDLastSave="0" documentId="13_ncr:1_{245BA650-32E7-43DC-AD2D-EE38C80815AA}" xr6:coauthVersionLast="47" xr6:coauthVersionMax="47" xr10:uidLastSave="{00000000-0000-0000-0000-000000000000}"/>
  <bookViews>
    <workbookView xWindow="-120" yWindow="-120" windowWidth="29040" windowHeight="15840" xr2:uid="{5D5C18CF-0673-4D5B-8AF2-2968A72FB23D}"/>
  </bookViews>
  <sheets>
    <sheet name="E1-1" sheetId="2" r:id="rId1"/>
    <sheet name="E1-2" sheetId="1" r:id="rId2"/>
    <sheet name="E2-10" sheetId="3" r:id="rId3"/>
    <sheet name="E2-13" sheetId="4" r:id="rId4"/>
    <sheet name="P2-24" sheetId="5" r:id="rId5"/>
    <sheet name="P2-27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3" l="1"/>
  <c r="F22" i="3"/>
  <c r="E22" i="3"/>
  <c r="D22" i="3"/>
  <c r="C22" i="3"/>
</calcChain>
</file>

<file path=xl/sharedStrings.xml><?xml version="1.0" encoding="utf-8"?>
<sst xmlns="http://schemas.openxmlformats.org/spreadsheetml/2006/main" count="93" uniqueCount="89">
  <si>
    <t>Exercise 1-1, The Managerial Process</t>
  </si>
  <si>
    <t>Exercise 1-2, Differences between Managerial Accounting and Financial Accounting</t>
  </si>
  <si>
    <t>Exercise 2-10, Cost Classification</t>
  </si>
  <si>
    <t>Frontenac Company incurred the following costs last year:</t>
  </si>
  <si>
    <t>1. Classify each of the costs using the following table format. Be sure to total the amounts in each column.</t>
  </si>
  <si>
    <t>Product Cost</t>
  </si>
  <si>
    <t>Period Cost</t>
  </si>
  <si>
    <t>Direct</t>
  </si>
  <si>
    <t xml:space="preserve">Direct </t>
  </si>
  <si>
    <t>Manufacturing</t>
  </si>
  <si>
    <t>Selling</t>
  </si>
  <si>
    <t xml:space="preserve">Administrative </t>
  </si>
  <si>
    <t>Materials</t>
  </si>
  <si>
    <t>Labour</t>
  </si>
  <si>
    <t>Overhead</t>
  </si>
  <si>
    <t>Expense</t>
  </si>
  <si>
    <t>Direct materials</t>
  </si>
  <si>
    <t>Factory rent</t>
  </si>
  <si>
    <t>Direct labour</t>
  </si>
  <si>
    <t>Factory utilities</t>
  </si>
  <si>
    <t>Supervision in factory</t>
  </si>
  <si>
    <t>Indirect labour in factory</t>
  </si>
  <si>
    <t>Depreciation on factory equipment</t>
  </si>
  <si>
    <t>Sales commissions</t>
  </si>
  <si>
    <t>Sales salaries</t>
  </si>
  <si>
    <t xml:space="preserve">Advertising </t>
  </si>
  <si>
    <t>Depreciation on headquarters building</t>
  </si>
  <si>
    <t>Salary of corporate receptionist</t>
  </si>
  <si>
    <t>Other administrative costs</t>
  </si>
  <si>
    <t>Salary of factory receptionist</t>
  </si>
  <si>
    <t>2. What is the total product cost for last year ?</t>
  </si>
  <si>
    <t>3. What is the total period cost for last year ?</t>
  </si>
  <si>
    <t>4. If 30,000 units were produced last year, what was the unit product cost ?</t>
  </si>
  <si>
    <t>5. Why are certain costs contained in the cost of the product and others are not ?</t>
  </si>
  <si>
    <t xml:space="preserve">SureShot manufactures cameras. </t>
  </si>
  <si>
    <t>In January, they had the following information:</t>
  </si>
  <si>
    <t>Production</t>
  </si>
  <si>
    <t xml:space="preserve">Direct materials </t>
  </si>
  <si>
    <t>Manufacturing overhead</t>
  </si>
  <si>
    <t>1. What was the total prime cost in January ?</t>
  </si>
  <si>
    <t>2. What was the prime cost per unit in January ?</t>
  </si>
  <si>
    <t>3. What was the total conversion cost in January ?</t>
  </si>
  <si>
    <t>4. What was the conversion cost per unit in January ?</t>
  </si>
  <si>
    <t>5. What was the full cost of a single unit during this accounting period ?</t>
  </si>
  <si>
    <t>6. How would full cost be used versus product cost ?</t>
  </si>
  <si>
    <t>Exercise 2-13, Prime Cost and Conversion Cost</t>
  </si>
  <si>
    <t>There were no beginning or ending inventories in WIP. In addition</t>
  </si>
  <si>
    <t>to these manufacturing costs, the company incurred administrative costs</t>
  </si>
  <si>
    <t>of $2,600,000 and marketing and selling costs of $1,600,000.</t>
  </si>
  <si>
    <t>Hayward Company, a manufacturing firm, has supplied the following information from its acounting records for month of May:</t>
  </si>
  <si>
    <t>Purchases of raw material</t>
  </si>
  <si>
    <t>Supplies</t>
  </si>
  <si>
    <t>Factory insurance</t>
  </si>
  <si>
    <t>Commissions paid</t>
  </si>
  <si>
    <t>Factory supervision</t>
  </si>
  <si>
    <t>Advertising</t>
  </si>
  <si>
    <t>Materials handling</t>
  </si>
  <si>
    <t>Material inventory, May 1</t>
  </si>
  <si>
    <t>Work in process, May 1</t>
  </si>
  <si>
    <t>Finished goods inventory, May 1</t>
  </si>
  <si>
    <t>Material inventory, May 31</t>
  </si>
  <si>
    <t>Work in process, May 31</t>
  </si>
  <si>
    <t>Finished goods inventory, May 31</t>
  </si>
  <si>
    <t>Problem 2-24, Cost of Goods Manufactured, Cost of Goods Sold</t>
  </si>
  <si>
    <t>1. Prepare a statement of cost of goods manufactured.</t>
  </si>
  <si>
    <t>2. Prepare a statement of cost of goods sold.</t>
  </si>
  <si>
    <t>units</t>
  </si>
  <si>
    <t>Purchase of raw material</t>
  </si>
  <si>
    <t>Sales supervisor’s salary</t>
  </si>
  <si>
    <t>Beginning materials inventory</t>
  </si>
  <si>
    <t>Commissions, salespersons</t>
  </si>
  <si>
    <t>Ending materials inventory</t>
  </si>
  <si>
    <t>General administration expense</t>
  </si>
  <si>
    <t>Beginning work in process inv.</t>
  </si>
  <si>
    <t>Indirect labour</t>
  </si>
  <si>
    <t>Ending work in process inv.</t>
  </si>
  <si>
    <t>Rent, factory building</t>
  </si>
  <si>
    <t>Beginning finished goods inv.</t>
  </si>
  <si>
    <t>Depreciation, factory equipment</t>
  </si>
  <si>
    <t>Ending finished goods inv.</t>
  </si>
  <si>
    <t>Utilities, factory</t>
  </si>
  <si>
    <t>Problem 2-27, Cost of Goods Manufactured, Income Statement</t>
  </si>
  <si>
    <t>W.W. Phillips Company produced 4,000 leather recliners during the year. These recliners sell for</t>
  </si>
  <si>
    <t>$400 each. Phillips had 500 recliners in finished goods inventory at the beginning of the year.</t>
  </si>
  <si>
    <t>At the end of the yer, there were 700 recliners in finished goods inventory. Phillips' accounting</t>
  </si>
  <si>
    <t>records provide the following information:</t>
  </si>
  <si>
    <t>1. Prepare a statement of costs of goods manufactured.</t>
  </si>
  <si>
    <t>2. Compute the average cost of producing one units of product in the year.</t>
  </si>
  <si>
    <t>3. Prepare an income statement for external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</si>
</sst>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u val="singleAccounting"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164" fontId="3" fillId="0" borderId="0" xfId="2" applyNumberFormat="1" applyFont="1"/>
    <xf numFmtId="164" fontId="3" fillId="0" borderId="0" xfId="0" applyNumberFormat="1" applyFont="1"/>
    <xf numFmtId="165" fontId="4" fillId="0" borderId="0" xfId="1" applyNumberFormat="1" applyFont="1"/>
    <xf numFmtId="164" fontId="4" fillId="0" borderId="0" xfId="0" applyNumberFormat="1" applyFont="1"/>
    <xf numFmtId="44" fontId="3" fillId="0" borderId="0" xfId="0" applyNumberFormat="1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164" fontId="6" fillId="0" borderId="0" xfId="2" applyNumberFormat="1" applyFont="1" applyAlignment="1"/>
    <xf numFmtId="3" fontId="6" fillId="0" borderId="0" xfId="0" applyNumberFormat="1" applyFont="1"/>
    <xf numFmtId="3" fontId="7" fillId="0" borderId="0" xfId="0" applyNumberFormat="1" applyFont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64" fontId="3" fillId="0" borderId="5" xfId="2" applyNumberFormat="1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165" fontId="3" fillId="0" borderId="5" xfId="0" applyNumberFormat="1" applyFont="1" applyBorder="1" applyAlignment="1">
      <alignment vertical="top" wrapText="1"/>
    </xf>
    <xf numFmtId="165" fontId="3" fillId="0" borderId="5" xfId="0" applyNumberFormat="1" applyFont="1" applyBorder="1" applyAlignment="1">
      <alignment horizontal="justify" vertical="top" wrapText="1"/>
    </xf>
    <xf numFmtId="3" fontId="3" fillId="0" borderId="0" xfId="0" applyNumberFormat="1" applyFont="1"/>
    <xf numFmtId="0" fontId="8" fillId="0" borderId="0" xfId="0" applyFont="1"/>
    <xf numFmtId="164" fontId="6" fillId="0" borderId="0" xfId="2" applyNumberFormat="1" applyFont="1"/>
    <xf numFmtId="165" fontId="6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104076</xdr:colOff>
      <xdr:row>41</xdr:row>
      <xdr:rowOff>180024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C485A-116F-2279-733E-892AB1AF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590476" cy="7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8</xdr:col>
      <xdr:colOff>580343</xdr:colOff>
      <xdr:row>56</xdr:row>
      <xdr:rowOff>190143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831EA-8E0E-B356-C273-EB1C3D39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5457143" cy="28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8</xdr:col>
      <xdr:colOff>608914</xdr:colOff>
      <xdr:row>33</xdr:row>
      <xdr:rowOff>37350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AB5C9-A77B-310A-7F34-09A129F23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50"/>
          <a:ext cx="5485714" cy="60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76200</xdr:colOff>
          <xdr:row>26</xdr:row>
          <xdr:rowOff>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E03E9EB-B59D-48CE-9302-CC72103B30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22</xdr:row>
          <xdr:rowOff>0</xdr:rowOff>
        </xdr:from>
        <xdr:to>
          <xdr:col>2</xdr:col>
          <xdr:colOff>76200</xdr:colOff>
          <xdr:row>22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BC340463-C267-43E0-81DF-B1579F361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32</xdr:row>
          <xdr:rowOff>0</xdr:rowOff>
        </xdr:from>
        <xdr:to>
          <xdr:col>2</xdr:col>
          <xdr:colOff>76200</xdr:colOff>
          <xdr:row>32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E30F9851-C4F1-4298-8353-8B930037F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43</xdr:row>
          <xdr:rowOff>28575</xdr:rowOff>
        </xdr:from>
        <xdr:to>
          <xdr:col>2</xdr:col>
          <xdr:colOff>76200</xdr:colOff>
          <xdr:row>43</xdr:row>
          <xdr:rowOff>28575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F40AEAB-CC91-4F25-956A-1C692B3B2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52</xdr:row>
          <xdr:rowOff>0</xdr:rowOff>
        </xdr:from>
        <xdr:to>
          <xdr:col>2</xdr:col>
          <xdr:colOff>76200</xdr:colOff>
          <xdr:row>52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CC2ECA1E-3CE7-4463-8D1B-FE9836EC25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4.w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7" Type="http://schemas.openxmlformats.org/officeDocument/2006/relationships/oleObject" Target="../embeddings/oleObject5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oleObject" Target="../embeddings/oleObject4.bin"/><Relationship Id="rId5" Type="http://schemas.openxmlformats.org/officeDocument/2006/relationships/oleObject" Target="../embeddings/oleObject3.bin"/><Relationship Id="rId4" Type="http://schemas.openxmlformats.org/officeDocument/2006/relationships/image" Target="../media/image4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D6CD-816E-4755-9C41-A39FC07EE46B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A010-13FF-4C59-9AAA-87C536677203}">
  <dimension ref="A1"/>
  <sheetViews>
    <sheetView workbookViewId="0"/>
  </sheetViews>
  <sheetFormatPr defaultRowHeight="15" x14ac:dyDescent="0.25"/>
  <sheetData>
    <row r="1" spans="1:1" x14ac:dyDescent="0.25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CE16-0C24-41FA-A687-B999054D1CD3}">
  <dimension ref="A1:G41"/>
  <sheetViews>
    <sheetView workbookViewId="0"/>
  </sheetViews>
  <sheetFormatPr defaultRowHeight="15.75" x14ac:dyDescent="0.25"/>
  <cols>
    <col min="1" max="1" width="55.7109375" style="2" customWidth="1"/>
    <col min="2" max="2" width="17.28515625" style="2" customWidth="1"/>
    <col min="3" max="3" width="14.140625" style="2" customWidth="1"/>
    <col min="4" max="4" width="16.42578125" style="2" customWidth="1"/>
    <col min="5" max="5" width="13.85546875" style="2" customWidth="1"/>
    <col min="6" max="6" width="14.140625" style="2" customWidth="1"/>
    <col min="7" max="7" width="15.140625" style="2" customWidth="1"/>
    <col min="8" max="16384" width="9.140625" style="2"/>
  </cols>
  <sheetData>
    <row r="1" spans="1:7" x14ac:dyDescent="0.25">
      <c r="A1" s="10" t="s">
        <v>2</v>
      </c>
    </row>
    <row r="2" spans="1:7" x14ac:dyDescent="0.25">
      <c r="A2" s="2" t="s">
        <v>3</v>
      </c>
    </row>
    <row r="3" spans="1:7" x14ac:dyDescent="0.25">
      <c r="A3" s="2" t="s">
        <v>4</v>
      </c>
    </row>
    <row r="4" spans="1:7" ht="16.5" thickBot="1" x14ac:dyDescent="0.3"/>
    <row r="5" spans="1:7" x14ac:dyDescent="0.25">
      <c r="D5" s="15" t="s">
        <v>5</v>
      </c>
      <c r="E5" s="16"/>
      <c r="F5" s="15" t="s">
        <v>6</v>
      </c>
      <c r="G5" s="16"/>
    </row>
    <row r="6" spans="1:7" ht="31.5" x14ac:dyDescent="0.25">
      <c r="C6" s="17" t="s">
        <v>7</v>
      </c>
      <c r="D6" s="17" t="s">
        <v>8</v>
      </c>
      <c r="E6" s="17" t="s">
        <v>9</v>
      </c>
      <c r="F6" s="17" t="s">
        <v>10</v>
      </c>
      <c r="G6" s="17" t="s">
        <v>11</v>
      </c>
    </row>
    <row r="7" spans="1:7" x14ac:dyDescent="0.25">
      <c r="C7" s="18" t="s">
        <v>12</v>
      </c>
      <c r="D7" s="18" t="s">
        <v>13</v>
      </c>
      <c r="E7" s="18" t="s">
        <v>14</v>
      </c>
      <c r="F7" s="18" t="s">
        <v>15</v>
      </c>
      <c r="G7" s="18" t="s">
        <v>15</v>
      </c>
    </row>
    <row r="8" spans="1:7" x14ac:dyDescent="0.25">
      <c r="A8" s="2" t="s">
        <v>16</v>
      </c>
      <c r="B8" s="4">
        <v>324000</v>
      </c>
      <c r="C8" s="19"/>
      <c r="D8" s="20"/>
      <c r="E8" s="20"/>
      <c r="F8" s="20"/>
      <c r="G8" s="20"/>
    </row>
    <row r="9" spans="1:7" x14ac:dyDescent="0.25">
      <c r="A9" s="2" t="s">
        <v>17</v>
      </c>
      <c r="B9" s="3">
        <v>36000</v>
      </c>
      <c r="C9" s="20"/>
      <c r="D9" s="20"/>
      <c r="E9" s="19"/>
      <c r="F9" s="20"/>
      <c r="G9" s="20"/>
    </row>
    <row r="10" spans="1:7" x14ac:dyDescent="0.25">
      <c r="A10" s="2" t="s">
        <v>18</v>
      </c>
      <c r="B10" s="3">
        <v>180000</v>
      </c>
      <c r="C10" s="20"/>
      <c r="D10" s="19"/>
      <c r="E10" s="19"/>
      <c r="F10" s="20"/>
      <c r="G10" s="20"/>
    </row>
    <row r="11" spans="1:7" x14ac:dyDescent="0.25">
      <c r="A11" s="2" t="s">
        <v>19</v>
      </c>
      <c r="B11" s="3">
        <v>9450</v>
      </c>
      <c r="C11" s="20"/>
      <c r="D11" s="20"/>
      <c r="E11" s="19"/>
      <c r="F11" s="20"/>
      <c r="G11" s="20"/>
    </row>
    <row r="12" spans="1:7" x14ac:dyDescent="0.25">
      <c r="A12" s="2" t="s">
        <v>20</v>
      </c>
      <c r="B12" s="3">
        <v>75000</v>
      </c>
      <c r="C12" s="20"/>
      <c r="D12" s="20"/>
      <c r="E12" s="19"/>
      <c r="F12" s="20"/>
      <c r="G12" s="20"/>
    </row>
    <row r="13" spans="1:7" x14ac:dyDescent="0.25">
      <c r="A13" s="2" t="s">
        <v>21</v>
      </c>
      <c r="B13" s="3">
        <v>45000</v>
      </c>
      <c r="C13" s="20"/>
      <c r="D13" s="20"/>
      <c r="E13" s="19"/>
      <c r="F13" s="20"/>
      <c r="G13" s="20"/>
    </row>
    <row r="14" spans="1:7" x14ac:dyDescent="0.25">
      <c r="A14" s="2" t="s">
        <v>22</v>
      </c>
      <c r="B14" s="3">
        <v>13500</v>
      </c>
      <c r="C14" s="20"/>
      <c r="D14" s="20"/>
      <c r="E14" s="19"/>
      <c r="F14" s="20"/>
      <c r="G14" s="20"/>
    </row>
    <row r="15" spans="1:7" x14ac:dyDescent="0.25">
      <c r="A15" s="2" t="s">
        <v>23</v>
      </c>
      <c r="B15" s="3">
        <v>40500</v>
      </c>
      <c r="C15" s="20"/>
      <c r="D15" s="20"/>
      <c r="E15" s="19"/>
      <c r="F15" s="21"/>
      <c r="G15" s="20"/>
    </row>
    <row r="16" spans="1:7" x14ac:dyDescent="0.25">
      <c r="A16" s="2" t="s">
        <v>24</v>
      </c>
      <c r="B16" s="3">
        <v>97500</v>
      </c>
      <c r="C16" s="20"/>
      <c r="D16" s="20"/>
      <c r="E16" s="19"/>
      <c r="F16" s="21"/>
      <c r="G16" s="20"/>
    </row>
    <row r="17" spans="1:7" x14ac:dyDescent="0.25">
      <c r="A17" s="2" t="s">
        <v>25</v>
      </c>
      <c r="B17" s="3">
        <v>55500</v>
      </c>
      <c r="C17" s="20"/>
      <c r="D17" s="20"/>
      <c r="E17" s="19"/>
      <c r="F17" s="21"/>
      <c r="G17" s="20"/>
    </row>
    <row r="18" spans="1:7" x14ac:dyDescent="0.25">
      <c r="A18" s="2" t="s">
        <v>26</v>
      </c>
      <c r="B18" s="3">
        <v>15000</v>
      </c>
      <c r="C18" s="20"/>
      <c r="D18" s="20"/>
      <c r="E18" s="19"/>
      <c r="F18" s="20"/>
      <c r="G18" s="22"/>
    </row>
    <row r="19" spans="1:7" x14ac:dyDescent="0.25">
      <c r="A19" s="2" t="s">
        <v>27</v>
      </c>
      <c r="B19" s="3">
        <v>45000</v>
      </c>
      <c r="C19" s="20"/>
      <c r="D19" s="20"/>
      <c r="E19" s="19"/>
      <c r="F19" s="19"/>
      <c r="G19" s="22"/>
    </row>
    <row r="20" spans="1:7" x14ac:dyDescent="0.25">
      <c r="A20" s="2" t="s">
        <v>28</v>
      </c>
      <c r="B20" s="3">
        <v>262500</v>
      </c>
      <c r="C20" s="20"/>
      <c r="D20" s="20"/>
      <c r="E20" s="19"/>
      <c r="F20" s="19"/>
      <c r="G20" s="22"/>
    </row>
    <row r="21" spans="1:7" x14ac:dyDescent="0.25">
      <c r="A21" s="2" t="s">
        <v>29</v>
      </c>
      <c r="B21" s="3">
        <v>42000</v>
      </c>
      <c r="C21" s="20"/>
      <c r="D21" s="20"/>
      <c r="E21" s="19"/>
      <c r="F21" s="19"/>
      <c r="G21" s="20"/>
    </row>
    <row r="22" spans="1:7" x14ac:dyDescent="0.25">
      <c r="C22" s="19">
        <f>SUM(C8:C21)</f>
        <v>0</v>
      </c>
      <c r="D22" s="19">
        <f t="shared" ref="D22:G22" si="0">SUM(D8:D21)</f>
        <v>0</v>
      </c>
      <c r="E22" s="19">
        <f t="shared" si="0"/>
        <v>0</v>
      </c>
      <c r="F22" s="19">
        <f t="shared" si="0"/>
        <v>0</v>
      </c>
      <c r="G22" s="19">
        <f t="shared" si="0"/>
        <v>0</v>
      </c>
    </row>
    <row r="26" spans="1:7" x14ac:dyDescent="0.25">
      <c r="A26" s="2" t="s">
        <v>30</v>
      </c>
      <c r="D26" s="5"/>
    </row>
    <row r="27" spans="1:7" x14ac:dyDescent="0.25">
      <c r="D27" s="5"/>
    </row>
    <row r="28" spans="1:7" x14ac:dyDescent="0.25">
      <c r="D28" s="5"/>
    </row>
    <row r="29" spans="1:7" x14ac:dyDescent="0.25">
      <c r="D29" s="5"/>
    </row>
    <row r="31" spans="1:7" x14ac:dyDescent="0.25">
      <c r="A31" s="2" t="s">
        <v>31</v>
      </c>
      <c r="D31" s="5"/>
    </row>
    <row r="32" spans="1:7" x14ac:dyDescent="0.25">
      <c r="D32" s="5"/>
    </row>
    <row r="33" spans="1:4" x14ac:dyDescent="0.25">
      <c r="D33" s="5"/>
    </row>
    <row r="36" spans="1:4" x14ac:dyDescent="0.25">
      <c r="A36" s="2" t="s">
        <v>32</v>
      </c>
    </row>
    <row r="37" spans="1:4" x14ac:dyDescent="0.25">
      <c r="D37" s="5"/>
    </row>
    <row r="38" spans="1:4" x14ac:dyDescent="0.25">
      <c r="D38" s="23"/>
    </row>
    <row r="39" spans="1:4" x14ac:dyDescent="0.25">
      <c r="D39" s="8"/>
    </row>
    <row r="41" spans="1:4" x14ac:dyDescent="0.25">
      <c r="A41" s="2" t="s">
        <v>33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autoPict="0" r:id="rId4">
            <anchor moveWithCells="1" sizeWithCells="1">
              <from>
                <xdr:col>1</xdr:col>
                <xdr:colOff>0</xdr:colOff>
                <xdr:row>26</xdr:row>
                <xdr:rowOff>0</xdr:rowOff>
              </from>
              <to>
                <xdr:col>2</xdr:col>
                <xdr:colOff>76200</xdr:colOff>
                <xdr:row>26</xdr:row>
                <xdr:rowOff>0</xdr:rowOff>
              </to>
            </anchor>
          </objectPr>
        </oleObject>
      </mc:Choice>
      <mc:Fallback>
        <oleObject progId="Equation.DSMT4" shapeId="307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E243-7098-4A57-9DB2-5CA957E6B42D}">
  <dimension ref="A1:F66"/>
  <sheetViews>
    <sheetView workbookViewId="0"/>
  </sheetViews>
  <sheetFormatPr defaultRowHeight="15.75" x14ac:dyDescent="0.25"/>
  <cols>
    <col min="1" max="4" width="9.140625" style="2"/>
    <col min="5" max="5" width="14.28515625" style="2" bestFit="1" customWidth="1"/>
    <col min="6" max="16384" width="9.140625" style="2"/>
  </cols>
  <sheetData>
    <row r="1" spans="1:6" x14ac:dyDescent="0.25">
      <c r="A1" s="10" t="s">
        <v>45</v>
      </c>
    </row>
    <row r="2" spans="1:6" x14ac:dyDescent="0.25">
      <c r="A2" s="10"/>
    </row>
    <row r="3" spans="1:6" x14ac:dyDescent="0.25">
      <c r="A3" s="2" t="s">
        <v>34</v>
      </c>
    </row>
    <row r="4" spans="1:6" x14ac:dyDescent="0.25">
      <c r="A4" s="2" t="s">
        <v>35</v>
      </c>
    </row>
    <row r="6" spans="1:6" x14ac:dyDescent="0.25">
      <c r="B6" s="2" t="s">
        <v>36</v>
      </c>
      <c r="E6" s="3">
        <v>19200</v>
      </c>
      <c r="F6" s="2" t="s">
        <v>66</v>
      </c>
    </row>
    <row r="7" spans="1:6" x14ac:dyDescent="0.25">
      <c r="B7" s="2" t="s">
        <v>37</v>
      </c>
      <c r="E7" s="4">
        <v>1200000</v>
      </c>
    </row>
    <row r="8" spans="1:6" x14ac:dyDescent="0.25">
      <c r="B8" s="2" t="s">
        <v>18</v>
      </c>
      <c r="E8" s="4">
        <v>240000</v>
      </c>
    </row>
    <row r="9" spans="1:6" x14ac:dyDescent="0.25">
      <c r="B9" s="2" t="s">
        <v>38</v>
      </c>
      <c r="E9" s="4">
        <v>960000</v>
      </c>
    </row>
    <row r="10" spans="1:6" x14ac:dyDescent="0.25">
      <c r="E10" s="4"/>
    </row>
    <row r="11" spans="1:6" x14ac:dyDescent="0.25">
      <c r="A11" s="2" t="s">
        <v>46</v>
      </c>
      <c r="E11" s="4"/>
    </row>
    <row r="12" spans="1:6" x14ac:dyDescent="0.25">
      <c r="A12" s="2" t="s">
        <v>47</v>
      </c>
    </row>
    <row r="13" spans="1:6" x14ac:dyDescent="0.25">
      <c r="A13" s="2" t="s">
        <v>48</v>
      </c>
    </row>
    <row r="16" spans="1:6" x14ac:dyDescent="0.25">
      <c r="A16" s="2" t="s">
        <v>39</v>
      </c>
    </row>
    <row r="22" spans="1:5" x14ac:dyDescent="0.25">
      <c r="E22" s="5"/>
    </row>
    <row r="23" spans="1:5" ht="18" x14ac:dyDescent="0.4">
      <c r="E23" s="6"/>
    </row>
    <row r="24" spans="1:5" x14ac:dyDescent="0.25">
      <c r="E24" s="5"/>
    </row>
    <row r="26" spans="1:5" x14ac:dyDescent="0.25">
      <c r="A26" s="2" t="s">
        <v>40</v>
      </c>
    </row>
    <row r="32" spans="1:5" x14ac:dyDescent="0.25">
      <c r="E32" s="5"/>
    </row>
    <row r="33" spans="1:5" x14ac:dyDescent="0.25">
      <c r="E33" s="3"/>
    </row>
    <row r="34" spans="1:5" x14ac:dyDescent="0.25">
      <c r="E34" s="5"/>
    </row>
    <row r="36" spans="1:5" x14ac:dyDescent="0.25">
      <c r="A36" s="2" t="s">
        <v>41</v>
      </c>
    </row>
    <row r="42" spans="1:5" x14ac:dyDescent="0.25">
      <c r="E42" s="5"/>
    </row>
    <row r="43" spans="1:5" ht="18" x14ac:dyDescent="0.4">
      <c r="E43" s="7"/>
    </row>
    <row r="44" spans="1:5" x14ac:dyDescent="0.25">
      <c r="E44" s="5"/>
    </row>
    <row r="46" spans="1:5" x14ac:dyDescent="0.25">
      <c r="A46" s="2" t="s">
        <v>42</v>
      </c>
    </row>
    <row r="52" spans="1:5" x14ac:dyDescent="0.25">
      <c r="E52" s="5"/>
    </row>
    <row r="53" spans="1:5" x14ac:dyDescent="0.25">
      <c r="E53" s="3"/>
    </row>
    <row r="54" spans="1:5" x14ac:dyDescent="0.25">
      <c r="E54" s="8"/>
    </row>
    <row r="56" spans="1:5" x14ac:dyDescent="0.25">
      <c r="A56" s="2" t="s">
        <v>43</v>
      </c>
    </row>
    <row r="57" spans="1:5" x14ac:dyDescent="0.25">
      <c r="E57" s="5"/>
    </row>
    <row r="58" spans="1:5" x14ac:dyDescent="0.25">
      <c r="E58" s="5"/>
    </row>
    <row r="59" spans="1:5" x14ac:dyDescent="0.25">
      <c r="E59" s="5"/>
    </row>
    <row r="60" spans="1:5" x14ac:dyDescent="0.25">
      <c r="E60" s="5"/>
    </row>
    <row r="61" spans="1:5" ht="18" x14ac:dyDescent="0.4">
      <c r="E61" s="7"/>
    </row>
    <row r="62" spans="1:5" x14ac:dyDescent="0.25">
      <c r="E62" s="5"/>
    </row>
    <row r="63" spans="1:5" x14ac:dyDescent="0.25">
      <c r="E63" s="9"/>
    </row>
    <row r="66" spans="1:1" x14ac:dyDescent="0.25">
      <c r="A66" s="2" t="s">
        <v>44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4097" r:id="rId3">
          <objectPr defaultSize="0" autoPict="0" r:id="rId4">
            <anchor moveWithCells="1" sizeWithCells="1">
              <from>
                <xdr:col>1</xdr:col>
                <xdr:colOff>0</xdr:colOff>
                <xdr:row>22</xdr:row>
                <xdr:rowOff>0</xdr:rowOff>
              </from>
              <to>
                <xdr:col>2</xdr:col>
                <xdr:colOff>76200</xdr:colOff>
                <xdr:row>22</xdr:row>
                <xdr:rowOff>0</xdr:rowOff>
              </to>
            </anchor>
          </objectPr>
        </oleObject>
      </mc:Choice>
      <mc:Fallback>
        <oleObject progId="Equation.DSMT4" shapeId="4097" r:id="rId3"/>
      </mc:Fallback>
    </mc:AlternateContent>
    <mc:AlternateContent xmlns:mc="http://schemas.openxmlformats.org/markup-compatibility/2006">
      <mc:Choice Requires="x14">
        <oleObject progId="Equation.DSMT4" shapeId="4098" r:id="rId5">
          <objectPr defaultSize="0" autoPict="0" r:id="rId4">
            <anchor moveWithCells="1" sizeWithCells="1">
              <from>
                <xdr:col>1</xdr:col>
                <xdr:colOff>0</xdr:colOff>
                <xdr:row>32</xdr:row>
                <xdr:rowOff>0</xdr:rowOff>
              </from>
              <to>
                <xdr:col>2</xdr:col>
                <xdr:colOff>76200</xdr:colOff>
                <xdr:row>32</xdr:row>
                <xdr:rowOff>0</xdr:rowOff>
              </to>
            </anchor>
          </objectPr>
        </oleObject>
      </mc:Choice>
      <mc:Fallback>
        <oleObject progId="Equation.DSMT4" shapeId="4098" r:id="rId5"/>
      </mc:Fallback>
    </mc:AlternateContent>
    <mc:AlternateContent xmlns:mc="http://schemas.openxmlformats.org/markup-compatibility/2006">
      <mc:Choice Requires="x14">
        <oleObject progId="Equation.DSMT4" shapeId="4099" r:id="rId6">
          <objectPr defaultSize="0" autoPict="0" r:id="rId4">
            <anchor moveWithCells="1" sizeWithCells="1">
              <from>
                <xdr:col>1</xdr:col>
                <xdr:colOff>0</xdr:colOff>
                <xdr:row>43</xdr:row>
                <xdr:rowOff>28575</xdr:rowOff>
              </from>
              <to>
                <xdr:col>2</xdr:col>
                <xdr:colOff>76200</xdr:colOff>
                <xdr:row>43</xdr:row>
                <xdr:rowOff>28575</xdr:rowOff>
              </to>
            </anchor>
          </objectPr>
        </oleObject>
      </mc:Choice>
      <mc:Fallback>
        <oleObject progId="Equation.DSMT4" shapeId="4099" r:id="rId6"/>
      </mc:Fallback>
    </mc:AlternateContent>
    <mc:AlternateContent xmlns:mc="http://schemas.openxmlformats.org/markup-compatibility/2006">
      <mc:Choice Requires="x14">
        <oleObject progId="Equation.DSMT4" shapeId="4100" r:id="rId7">
          <objectPr defaultSize="0" autoPict="0" r:id="rId4">
            <anchor moveWithCells="1" sizeWithCells="1">
              <from>
                <xdr:col>1</xdr:col>
                <xdr:colOff>0</xdr:colOff>
                <xdr:row>52</xdr:row>
                <xdr:rowOff>0</xdr:rowOff>
              </from>
              <to>
                <xdr:col>2</xdr:col>
                <xdr:colOff>76200</xdr:colOff>
                <xdr:row>52</xdr:row>
                <xdr:rowOff>0</xdr:rowOff>
              </to>
            </anchor>
          </objectPr>
        </oleObject>
      </mc:Choice>
      <mc:Fallback>
        <oleObject progId="Equation.DSMT4" shapeId="4100" r:id="rId7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B67-41F2-4F8C-B376-7C8F19E346C0}">
  <dimension ref="A1:E22"/>
  <sheetViews>
    <sheetView workbookViewId="0"/>
  </sheetViews>
  <sheetFormatPr defaultRowHeight="15.75" x14ac:dyDescent="0.25"/>
  <cols>
    <col min="1" max="4" width="9.140625" style="11"/>
    <col min="5" max="5" width="9.85546875" style="11" bestFit="1" customWidth="1"/>
    <col min="6" max="16384" width="9.140625" style="11"/>
  </cols>
  <sheetData>
    <row r="1" spans="1:5" x14ac:dyDescent="0.25">
      <c r="A1" s="24" t="s">
        <v>63</v>
      </c>
    </row>
    <row r="3" spans="1:5" x14ac:dyDescent="0.25">
      <c r="A3" s="11" t="s">
        <v>49</v>
      </c>
    </row>
    <row r="5" spans="1:5" x14ac:dyDescent="0.25">
      <c r="A5" s="11" t="s">
        <v>18</v>
      </c>
      <c r="E5" s="12">
        <v>10500</v>
      </c>
    </row>
    <row r="6" spans="1:5" x14ac:dyDescent="0.25">
      <c r="A6" s="11" t="s">
        <v>50</v>
      </c>
      <c r="E6" s="13">
        <v>15000</v>
      </c>
    </row>
    <row r="7" spans="1:5" x14ac:dyDescent="0.25">
      <c r="A7" s="11" t="s">
        <v>51</v>
      </c>
      <c r="E7" s="11">
        <v>675</v>
      </c>
    </row>
    <row r="8" spans="1:5" x14ac:dyDescent="0.25">
      <c r="A8" s="11" t="s">
        <v>52</v>
      </c>
      <c r="E8" s="11">
        <v>350</v>
      </c>
    </row>
    <row r="9" spans="1:5" x14ac:dyDescent="0.25">
      <c r="A9" s="11" t="s">
        <v>53</v>
      </c>
      <c r="E9" s="13">
        <v>2500</v>
      </c>
    </row>
    <row r="10" spans="1:5" x14ac:dyDescent="0.25">
      <c r="A10" s="11" t="s">
        <v>54</v>
      </c>
      <c r="E10" s="13">
        <v>2225</v>
      </c>
    </row>
    <row r="11" spans="1:5" x14ac:dyDescent="0.25">
      <c r="A11" s="11" t="s">
        <v>55</v>
      </c>
      <c r="E11" s="13">
        <v>800</v>
      </c>
    </row>
    <row r="12" spans="1:5" x14ac:dyDescent="0.25">
      <c r="A12" s="11" t="s">
        <v>56</v>
      </c>
      <c r="D12" s="14"/>
      <c r="E12" s="13">
        <v>3750</v>
      </c>
    </row>
    <row r="13" spans="1:5" x14ac:dyDescent="0.25">
      <c r="A13" s="11" t="s">
        <v>57</v>
      </c>
      <c r="E13" s="13">
        <v>3475</v>
      </c>
    </row>
    <row r="14" spans="1:5" x14ac:dyDescent="0.25">
      <c r="A14" s="11" t="s">
        <v>58</v>
      </c>
      <c r="E14" s="13">
        <v>12500</v>
      </c>
    </row>
    <row r="15" spans="1:5" x14ac:dyDescent="0.25">
      <c r="A15" s="11" t="s">
        <v>59</v>
      </c>
      <c r="E15" s="13">
        <v>6685</v>
      </c>
    </row>
    <row r="16" spans="1:5" x14ac:dyDescent="0.25">
      <c r="A16" s="11" t="s">
        <v>60</v>
      </c>
      <c r="E16" s="13">
        <v>9500</v>
      </c>
    </row>
    <row r="17" spans="1:5" x14ac:dyDescent="0.25">
      <c r="A17" s="11" t="s">
        <v>61</v>
      </c>
      <c r="E17" s="13">
        <v>14250</v>
      </c>
    </row>
    <row r="18" spans="1:5" x14ac:dyDescent="0.25">
      <c r="A18" s="11" t="s">
        <v>62</v>
      </c>
      <c r="D18" s="14"/>
      <c r="E18" s="13">
        <v>4250</v>
      </c>
    </row>
    <row r="20" spans="1:5" x14ac:dyDescent="0.25">
      <c r="A20" s="11" t="s">
        <v>64</v>
      </c>
    </row>
    <row r="22" spans="1:5" x14ac:dyDescent="0.25">
      <c r="A22" s="11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0219-5498-45BC-971D-5371DDDE2AAE}">
  <dimension ref="A1:I19"/>
  <sheetViews>
    <sheetView workbookViewId="0"/>
  </sheetViews>
  <sheetFormatPr defaultRowHeight="15.75" x14ac:dyDescent="0.25"/>
  <cols>
    <col min="1" max="4" width="9.140625" style="11"/>
    <col min="5" max="5" width="11" style="11" bestFit="1" customWidth="1"/>
    <col min="6" max="8" width="9.140625" style="11"/>
    <col min="9" max="9" width="10" style="11" bestFit="1" customWidth="1"/>
    <col min="10" max="16384" width="9.140625" style="11"/>
  </cols>
  <sheetData>
    <row r="1" spans="1:9" x14ac:dyDescent="0.25">
      <c r="A1" s="24" t="s">
        <v>81</v>
      </c>
      <c r="C1" s="24"/>
    </row>
    <row r="2" spans="1:9" x14ac:dyDescent="0.25">
      <c r="A2" s="24"/>
      <c r="C2" s="24"/>
    </row>
    <row r="3" spans="1:9" x14ac:dyDescent="0.25">
      <c r="A3" s="11" t="s">
        <v>82</v>
      </c>
    </row>
    <row r="4" spans="1:9" x14ac:dyDescent="0.25">
      <c r="A4" s="11" t="s">
        <v>83</v>
      </c>
      <c r="E4" s="26"/>
    </row>
    <row r="5" spans="1:9" x14ac:dyDescent="0.25">
      <c r="A5" s="11" t="s">
        <v>84</v>
      </c>
      <c r="E5" s="25"/>
    </row>
    <row r="6" spans="1:9" x14ac:dyDescent="0.25">
      <c r="A6" s="11" t="s">
        <v>85</v>
      </c>
      <c r="E6" s="26"/>
    </row>
    <row r="8" spans="1:9" x14ac:dyDescent="0.25">
      <c r="A8" s="11" t="s">
        <v>67</v>
      </c>
      <c r="E8" s="25">
        <v>320000</v>
      </c>
      <c r="F8" s="11" t="s">
        <v>68</v>
      </c>
      <c r="I8" s="25">
        <v>90000</v>
      </c>
    </row>
    <row r="9" spans="1:9" x14ac:dyDescent="0.25">
      <c r="A9" s="11" t="s">
        <v>69</v>
      </c>
      <c r="E9" s="26">
        <v>46800</v>
      </c>
      <c r="F9" s="11" t="s">
        <v>70</v>
      </c>
      <c r="I9" s="26">
        <v>180000</v>
      </c>
    </row>
    <row r="10" spans="1:9" x14ac:dyDescent="0.25">
      <c r="A10" s="11" t="s">
        <v>71</v>
      </c>
      <c r="E10" s="26">
        <v>66800</v>
      </c>
      <c r="F10" s="11" t="s">
        <v>72</v>
      </c>
      <c r="I10" s="26">
        <v>300000</v>
      </c>
    </row>
    <row r="11" spans="1:9" x14ac:dyDescent="0.25">
      <c r="A11" s="11" t="s">
        <v>18</v>
      </c>
      <c r="E11" s="26">
        <v>200000</v>
      </c>
      <c r="F11" s="11" t="s">
        <v>73</v>
      </c>
      <c r="I11" s="26">
        <v>13040</v>
      </c>
    </row>
    <row r="12" spans="1:9" x14ac:dyDescent="0.25">
      <c r="A12" s="11" t="s">
        <v>74</v>
      </c>
      <c r="E12" s="26">
        <v>40000</v>
      </c>
      <c r="F12" s="11" t="s">
        <v>75</v>
      </c>
      <c r="I12" s="26">
        <v>14940</v>
      </c>
    </row>
    <row r="13" spans="1:9" x14ac:dyDescent="0.25">
      <c r="A13" s="11" t="s">
        <v>76</v>
      </c>
      <c r="E13" s="26">
        <v>42000</v>
      </c>
      <c r="F13" s="11" t="s">
        <v>77</v>
      </c>
      <c r="I13" s="26">
        <v>80000</v>
      </c>
    </row>
    <row r="14" spans="1:9" x14ac:dyDescent="0.25">
      <c r="A14" s="11" t="s">
        <v>78</v>
      </c>
      <c r="E14" s="26">
        <v>60000</v>
      </c>
      <c r="F14" s="11" t="s">
        <v>79</v>
      </c>
      <c r="I14" s="26">
        <v>114100</v>
      </c>
    </row>
    <row r="15" spans="1:9" x14ac:dyDescent="0.25">
      <c r="A15" s="11" t="s">
        <v>80</v>
      </c>
      <c r="D15" s="14"/>
      <c r="E15" s="26">
        <v>11900</v>
      </c>
    </row>
    <row r="17" spans="1:1" x14ac:dyDescent="0.25">
      <c r="A17" s="11" t="s">
        <v>86</v>
      </c>
    </row>
    <row r="18" spans="1:1" x14ac:dyDescent="0.25">
      <c r="A18" s="11" t="s">
        <v>87</v>
      </c>
    </row>
    <row r="19" spans="1:1" x14ac:dyDescent="0.25">
      <c r="A19" s="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E1-1</vt:lpstr>
      <vt:lpstr>E1-2</vt:lpstr>
      <vt:lpstr>E2-10</vt:lpstr>
      <vt:lpstr>E2-13</vt:lpstr>
      <vt:lpstr>P2-24</vt:lpstr>
      <vt:lpstr>P2-27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 Grech</dc:creator>
  <cp:lastModifiedBy>Else Grech</cp:lastModifiedBy>
  <dcterms:created xsi:type="dcterms:W3CDTF">2026-01-06T20:45:05Z</dcterms:created>
  <dcterms:modified xsi:type="dcterms:W3CDTF">2026-01-06T21:37:01Z</dcterms:modified>
</cp:coreProperties>
</file>