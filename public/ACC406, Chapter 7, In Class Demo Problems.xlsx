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CC406\In Class Demo Problems\"/>
    </mc:Choice>
  </mc:AlternateContent>
  <xr:revisionPtr revIDLastSave="0" documentId="8_{49992EBC-596D-4960-A4AA-0F6AEA1084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x 7-11" sheetId="1" r:id="rId1"/>
    <sheet name="Ex 7-23" sheetId="2" r:id="rId2"/>
    <sheet name="Ex 7-26" sheetId="3" r:id="rId3"/>
    <sheet name="Ex 7-27" sheetId="4" r:id="rId4"/>
  </sheets>
  <calcPr calcId="181029"/>
</workbook>
</file>

<file path=xl/calcChain.xml><?xml version="1.0" encoding="utf-8"?>
<calcChain xmlns="http://schemas.openxmlformats.org/spreadsheetml/2006/main">
  <c r="F17" i="2" l="1"/>
  <c r="F16" i="2"/>
  <c r="C19" i="2"/>
  <c r="C16" i="2"/>
  <c r="C17" i="2"/>
  <c r="C18" i="2"/>
  <c r="C15" i="2"/>
  <c r="E7" i="1"/>
  <c r="F15" i="1"/>
  <c r="F16" i="1"/>
  <c r="F14" i="1"/>
</calcChain>
</file>

<file path=xl/sharedStrings.xml><?xml version="1.0" encoding="utf-8"?>
<sst xmlns="http://schemas.openxmlformats.org/spreadsheetml/2006/main" count="101" uniqueCount="87">
  <si>
    <t>Mackinaw uses ABC and identifies two activities and their budget costs:</t>
  </si>
  <si>
    <t>Setting up equipment</t>
  </si>
  <si>
    <t>Other overhead</t>
  </si>
  <si>
    <t>Setting up equipment is based on setup hours.</t>
  </si>
  <si>
    <t>Other overhead is based on oven hours.</t>
  </si>
  <si>
    <t>Information for each product is as follows:</t>
  </si>
  <si>
    <t>Cookies</t>
  </si>
  <si>
    <t>Fudge</t>
  </si>
  <si>
    <t>Units produced</t>
  </si>
  <si>
    <t xml:space="preserve">Setup hours </t>
  </si>
  <si>
    <t>Oven hours</t>
  </si>
  <si>
    <t>Round answers to four decimal places.</t>
  </si>
  <si>
    <t>1. Calculate the activiy rate for setting up equipment &amp; other overhead.</t>
  </si>
  <si>
    <t>Total</t>
  </si>
  <si>
    <t>2. How much total overhead is assigned to fudge using ABC ?</t>
  </si>
  <si>
    <t>3. What is the unit overhead is assigned to fudge using ABC ?</t>
  </si>
  <si>
    <t>4. Ignoring ABC results, calculate the plantwide overhead rate, based on oven hours.</t>
  </si>
  <si>
    <t>5. How much total overhead is assigned to fudge using plantwide rate ?</t>
  </si>
  <si>
    <t>6. Explain why the total overhead assigned to fudge is different under the ABC system</t>
  </si>
  <si>
    <t xml:space="preserve">   (i.e., using the activity rates) than under the traditional ystem (i.e., using plantwide rate).</t>
  </si>
  <si>
    <t>Crombie has established the following activity cost pools and cost drivers.</t>
  </si>
  <si>
    <t>Budgeted</t>
  </si>
  <si>
    <t>Overhead Cost</t>
  </si>
  <si>
    <t>Cost Driver</t>
  </si>
  <si>
    <t>Budgeted Level for</t>
  </si>
  <si>
    <t>Activity Cost Pool</t>
  </si>
  <si>
    <t>Machine set ups</t>
  </si>
  <si>
    <t>Materials handling</t>
  </si>
  <si>
    <t>Waste control</t>
  </si>
  <si>
    <t>Quality control</t>
  </si>
  <si>
    <t>Other overhead costs</t>
  </si>
  <si>
    <t>Number of setups</t>
  </si>
  <si>
    <t>Weight of materials</t>
  </si>
  <si>
    <t>Weight of chemicals</t>
  </si>
  <si>
    <t>Number of inspections</t>
  </si>
  <si>
    <t>Machine hours</t>
  </si>
  <si>
    <t>kilograms</t>
  </si>
  <si>
    <t>Each order must be a minimum of 1,000 boxes of film chemicals.</t>
  </si>
  <si>
    <t>The production requirement for each minimum order are as follows:</t>
  </si>
  <si>
    <t>setups</t>
  </si>
  <si>
    <t>inspections</t>
  </si>
  <si>
    <t>machine hours</t>
  </si>
  <si>
    <t>2. Calculate the overhead that should be assigned to each minimum order of film chemicals</t>
  </si>
  <si>
    <t xml:space="preserve">    if Crombie decides to use a single predetermined overhead rate based on machine hours.</t>
  </si>
  <si>
    <t>1. Calculate the overhead that should be assigned to each minimum order of film chemicals using the above data.</t>
  </si>
  <si>
    <t>Porter has four categories of overhead.</t>
  </si>
  <si>
    <t>The expected overhead costs for each of the categories for the next year are as follows:</t>
  </si>
  <si>
    <t>Costs</t>
  </si>
  <si>
    <t>Expected</t>
  </si>
  <si>
    <t>Maintenance</t>
  </si>
  <si>
    <t>Setups</t>
  </si>
  <si>
    <t>Inspection</t>
  </si>
  <si>
    <t>Material moves</t>
  </si>
  <si>
    <t>Inspections</t>
  </si>
  <si>
    <t>Activity</t>
  </si>
  <si>
    <t xml:space="preserve">Currently, the company applies overhead using a predetermined overhaed rate based on </t>
  </si>
  <si>
    <t>budgeted direct labour hours of</t>
  </si>
  <si>
    <t>The company has been asked to bid on a proposed job.</t>
  </si>
  <si>
    <t>Usually bids are based on full manufacturing costs plus a markup of 35 percent.</t>
  </si>
  <si>
    <t>Estimates for the proposed job are as follows:</t>
  </si>
  <si>
    <t>Direct materials</t>
  </si>
  <si>
    <t>Direct labour</t>
  </si>
  <si>
    <t>Number of direct labour hours</t>
  </si>
  <si>
    <t>Number of material moves</t>
  </si>
  <si>
    <t>Number of machine hours</t>
  </si>
  <si>
    <t>1. If the company used direct labour hours as the cost driver, calculate the bid price of the proposed job.</t>
  </si>
  <si>
    <t>Cutting</t>
  </si>
  <si>
    <t>Exercise 7-11, Comparing ABC and Plantwide Overhead Cost Assignments</t>
  </si>
  <si>
    <t>Exercise 7-23, Plantwide Rate and Activity-Based Costing</t>
  </si>
  <si>
    <t>Exercise 7-26, Plantwide Rate and Activity-Based Costing: Bid Price of Job</t>
  </si>
  <si>
    <t>2. If the company used activity-based cost drivers to assign overhead, calculate the bid price of the proposed job.</t>
  </si>
  <si>
    <t>Exercise 7-27, Plantwide Rate and Activity-Based Costing</t>
  </si>
  <si>
    <t>Rowland Textile Inc. manufactures two products: sweatshirts and T-shirts. The manufacturing</t>
  </si>
  <si>
    <t>process involves two activities: cutting and sewing. Expected overhead costs and cost drivers are</t>
  </si>
  <si>
    <t>as follows:</t>
  </si>
  <si>
    <t>Overhead costs</t>
  </si>
  <si>
    <t>Direct labour hours</t>
  </si>
  <si>
    <t>Sewing</t>
  </si>
  <si>
    <t>Required:</t>
  </si>
  <si>
    <t>1. Calculate the activity-based overhead rates. Use machine hours for the cutting activity and</t>
  </si>
  <si>
    <t>direct labour hours for the sewing activity.</t>
  </si>
  <si>
    <t>2. Calculate a plantwide overhead rate using direct labour hours as a cost driver.</t>
  </si>
  <si>
    <t>3. Assume the activities for sweatshirts are as follows:</t>
  </si>
  <si>
    <t xml:space="preserve">Calculate the overhead costs allocated to sweatshirts based on the activity-based </t>
  </si>
  <si>
    <t>overhead rates calculated in Requirement #1.</t>
  </si>
  <si>
    <t>4. Using the assumptions given in Requirement #3, calculate the overhead costs allocated to</t>
  </si>
  <si>
    <t>sweatshirts using the plantwide overhead rate in Requirement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</si>
</sst>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 val="doubleAccounting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justify"/>
    </xf>
    <xf numFmtId="0" fontId="3" fillId="0" borderId="0" xfId="0" applyFont="1"/>
    <xf numFmtId="0" fontId="4" fillId="0" borderId="0" xfId="0" applyFont="1"/>
    <xf numFmtId="0" fontId="5" fillId="0" borderId="0" xfId="0" applyFont="1"/>
    <xf numFmtId="164" fontId="4" fillId="0" borderId="0" xfId="2" applyNumberFormat="1" applyFont="1"/>
    <xf numFmtId="165" fontId="6" fillId="0" borderId="0" xfId="1" applyNumberFormat="1" applyFont="1"/>
    <xf numFmtId="164" fontId="7" fillId="0" borderId="0" xfId="2" applyNumberFormat="1" applyFont="1"/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165" fontId="4" fillId="0" borderId="0" xfId="1" applyNumberFormat="1" applyFont="1"/>
    <xf numFmtId="165" fontId="4" fillId="0" borderId="0" xfId="0" applyNumberFormat="1" applyFont="1"/>
    <xf numFmtId="0" fontId="4" fillId="0" borderId="0" xfId="0" applyFont="1" applyAlignment="1">
      <alignment horizontal="center"/>
    </xf>
    <xf numFmtId="165" fontId="4" fillId="0" borderId="0" xfId="1" applyNumberFormat="1" applyFont="1" applyBorder="1"/>
    <xf numFmtId="0" fontId="8" fillId="0" borderId="0" xfId="0" applyFont="1" applyBorder="1"/>
    <xf numFmtId="0" fontId="5" fillId="0" borderId="0" xfId="0" applyFont="1" applyAlignment="1">
      <alignment horizontal="center"/>
    </xf>
    <xf numFmtId="165" fontId="4" fillId="0" borderId="0" xfId="1" applyNumberFormat="1" applyFont="1" applyBorder="1" applyAlignment="1"/>
    <xf numFmtId="0" fontId="8" fillId="0" borderId="0" xfId="0" applyFont="1"/>
    <xf numFmtId="165" fontId="4" fillId="0" borderId="0" xfId="1" applyNumberFormat="1" applyFont="1" applyAlignment="1">
      <alignment horizontal="center"/>
    </xf>
    <xf numFmtId="0" fontId="9" fillId="0" borderId="0" xfId="0" applyFont="1" applyBorder="1"/>
    <xf numFmtId="6" fontId="8" fillId="0" borderId="0" xfId="0" applyNumberFormat="1" applyFont="1" applyBorder="1"/>
    <xf numFmtId="3" fontId="8" fillId="0" borderId="0" xfId="0" applyNumberFormat="1" applyFont="1" applyBorder="1"/>
    <xf numFmtId="0" fontId="9" fillId="0" borderId="0" xfId="0" applyFont="1" applyBorder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4"/>
  <sheetViews>
    <sheetView tabSelected="1" workbookViewId="0"/>
  </sheetViews>
  <sheetFormatPr defaultRowHeight="15.75" x14ac:dyDescent="0.25"/>
  <cols>
    <col min="1" max="1" width="11.7109375" style="3" customWidth="1"/>
    <col min="2" max="2" width="10.5703125" style="3" customWidth="1"/>
    <col min="3" max="3" width="9.140625" style="3"/>
    <col min="4" max="4" width="10.42578125" style="3" bestFit="1" customWidth="1"/>
    <col min="5" max="5" width="14" style="3" bestFit="1" customWidth="1"/>
    <col min="6" max="6" width="11" style="3" bestFit="1" customWidth="1"/>
    <col min="7" max="7" width="12.7109375" style="3" bestFit="1" customWidth="1"/>
    <col min="8" max="8" width="11.140625" style="3" customWidth="1"/>
    <col min="9" max="16384" width="9.140625" style="3"/>
  </cols>
  <sheetData>
    <row r="1" spans="1:6" x14ac:dyDescent="0.25">
      <c r="A1" s="2" t="s">
        <v>67</v>
      </c>
      <c r="F1" s="4"/>
    </row>
    <row r="2" spans="1:6" x14ac:dyDescent="0.25">
      <c r="A2" s="2"/>
      <c r="F2" s="4"/>
    </row>
    <row r="3" spans="1:6" x14ac:dyDescent="0.25">
      <c r="A3" s="3" t="s">
        <v>0</v>
      </c>
    </row>
    <row r="5" spans="1:6" x14ac:dyDescent="0.25">
      <c r="B5" s="3" t="s">
        <v>1</v>
      </c>
      <c r="E5" s="5">
        <v>76300</v>
      </c>
    </row>
    <row r="6" spans="1:6" ht="18" x14ac:dyDescent="0.4">
      <c r="B6" s="3" t="s">
        <v>2</v>
      </c>
      <c r="E6" s="6">
        <v>175000</v>
      </c>
    </row>
    <row r="7" spans="1:6" ht="18" x14ac:dyDescent="0.4">
      <c r="C7" s="3" t="s">
        <v>13</v>
      </c>
      <c r="E7" s="7">
        <f>SUM(E5:E6)</f>
        <v>251300</v>
      </c>
    </row>
    <row r="9" spans="1:6" x14ac:dyDescent="0.25">
      <c r="A9" s="3" t="s">
        <v>3</v>
      </c>
    </row>
    <row r="10" spans="1:6" x14ac:dyDescent="0.25">
      <c r="A10" s="3" t="s">
        <v>4</v>
      </c>
    </row>
    <row r="12" spans="1:6" x14ac:dyDescent="0.25">
      <c r="A12" s="3" t="s">
        <v>5</v>
      </c>
    </row>
    <row r="13" spans="1:6" x14ac:dyDescent="0.25">
      <c r="B13" s="8"/>
      <c r="C13" s="8"/>
      <c r="D13" s="9" t="s">
        <v>7</v>
      </c>
      <c r="E13" s="9" t="s">
        <v>6</v>
      </c>
      <c r="F13" s="10" t="s">
        <v>13</v>
      </c>
    </row>
    <row r="14" spans="1:6" x14ac:dyDescent="0.25">
      <c r="B14" s="3" t="s">
        <v>8</v>
      </c>
      <c r="D14" s="11">
        <v>2500</v>
      </c>
      <c r="E14" s="11">
        <v>12500</v>
      </c>
      <c r="F14" s="12">
        <f>SUM(D14:E14)</f>
        <v>15000</v>
      </c>
    </row>
    <row r="15" spans="1:6" x14ac:dyDescent="0.25">
      <c r="B15" s="3" t="s">
        <v>9</v>
      </c>
      <c r="D15" s="11">
        <v>1000</v>
      </c>
      <c r="E15" s="11">
        <v>250</v>
      </c>
      <c r="F15" s="12">
        <f t="shared" ref="F15:F16" si="0">SUM(D15:E15)</f>
        <v>1250</v>
      </c>
    </row>
    <row r="16" spans="1:6" x14ac:dyDescent="0.25">
      <c r="B16" s="3" t="s">
        <v>10</v>
      </c>
      <c r="D16" s="11">
        <v>250</v>
      </c>
      <c r="E16" s="11">
        <v>1250</v>
      </c>
      <c r="F16" s="12">
        <f t="shared" si="0"/>
        <v>1500</v>
      </c>
    </row>
    <row r="18" spans="1:10" x14ac:dyDescent="0.25">
      <c r="A18" s="3" t="s">
        <v>11</v>
      </c>
    </row>
    <row r="19" spans="1:10" x14ac:dyDescent="0.25">
      <c r="A19" s="15" t="s">
        <v>12</v>
      </c>
      <c r="B19" s="15"/>
      <c r="C19" s="15"/>
      <c r="D19" s="15"/>
      <c r="E19" s="15"/>
      <c r="F19" s="15"/>
      <c r="G19" s="15"/>
      <c r="H19" s="15"/>
      <c r="I19" s="15"/>
      <c r="J19" s="15"/>
    </row>
    <row r="20" spans="1:10" x14ac:dyDescent="0.25">
      <c r="A20" s="15" t="s">
        <v>14</v>
      </c>
      <c r="B20" s="15"/>
      <c r="C20" s="15"/>
      <c r="D20" s="15"/>
      <c r="E20" s="15"/>
      <c r="F20" s="15"/>
      <c r="G20" s="15"/>
      <c r="H20" s="15"/>
      <c r="I20" s="15"/>
      <c r="J20" s="15"/>
    </row>
    <row r="21" spans="1:10" x14ac:dyDescent="0.25">
      <c r="A21" s="15" t="s">
        <v>15</v>
      </c>
      <c r="B21" s="15"/>
      <c r="C21" s="15"/>
      <c r="D21" s="15"/>
      <c r="E21" s="15"/>
      <c r="F21" s="15"/>
      <c r="G21" s="15"/>
      <c r="H21" s="15"/>
      <c r="I21" s="15"/>
      <c r="J21" s="15"/>
    </row>
    <row r="22" spans="1:10" x14ac:dyDescent="0.25">
      <c r="A22" s="15" t="s">
        <v>16</v>
      </c>
      <c r="B22" s="15"/>
      <c r="C22" s="15"/>
      <c r="D22" s="15"/>
      <c r="E22" s="15"/>
      <c r="F22" s="15"/>
      <c r="G22" s="15"/>
      <c r="H22" s="15"/>
      <c r="I22" s="15"/>
      <c r="J22" s="15"/>
    </row>
    <row r="23" spans="1:10" x14ac:dyDescent="0.25">
      <c r="A23" s="15" t="s">
        <v>17</v>
      </c>
      <c r="B23" s="15"/>
      <c r="C23" s="15"/>
      <c r="D23" s="15"/>
      <c r="E23" s="15"/>
      <c r="F23" s="15"/>
      <c r="G23" s="15"/>
      <c r="H23" s="15"/>
      <c r="I23" s="15"/>
      <c r="J23" s="15"/>
    </row>
    <row r="24" spans="1:10" x14ac:dyDescent="0.25">
      <c r="A24" s="15" t="s">
        <v>18</v>
      </c>
      <c r="B24" s="15"/>
      <c r="C24" s="15"/>
      <c r="D24" s="15"/>
      <c r="E24" s="15"/>
      <c r="F24" s="15"/>
      <c r="G24" s="15"/>
      <c r="H24" s="15"/>
      <c r="I24" s="15"/>
      <c r="J24" s="15"/>
    </row>
    <row r="25" spans="1:10" x14ac:dyDescent="0.25">
      <c r="A25" s="15" t="s">
        <v>19</v>
      </c>
      <c r="B25" s="15"/>
      <c r="C25" s="15"/>
      <c r="D25" s="15"/>
      <c r="E25" s="15"/>
      <c r="F25" s="15"/>
      <c r="G25" s="15"/>
      <c r="H25" s="15"/>
      <c r="I25" s="15"/>
      <c r="J25" s="15"/>
    </row>
    <row r="26" spans="1:10" x14ac:dyDescent="0.25">
      <c r="A26" s="15"/>
      <c r="B26" s="15"/>
      <c r="C26" s="15"/>
      <c r="D26" s="15"/>
      <c r="E26" s="15"/>
      <c r="F26" s="15"/>
      <c r="G26" s="15"/>
      <c r="H26" s="15"/>
      <c r="I26" s="15"/>
      <c r="J26" s="15"/>
    </row>
    <row r="27" spans="1:10" x14ac:dyDescent="0.25">
      <c r="A27" s="15"/>
      <c r="B27" s="15"/>
      <c r="C27" s="15"/>
      <c r="D27" s="15"/>
      <c r="E27" s="15"/>
      <c r="F27" s="15"/>
      <c r="G27" s="15"/>
      <c r="H27" s="15"/>
      <c r="I27" s="15"/>
      <c r="J27" s="15"/>
    </row>
    <row r="28" spans="1:10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</row>
    <row r="29" spans="1:10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</row>
    <row r="30" spans="1:10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</row>
    <row r="31" spans="1:10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</row>
    <row r="32" spans="1:10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</row>
    <row r="33" spans="1:10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</row>
    <row r="34" spans="1:10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</row>
    <row r="35" spans="1:10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</row>
    <row r="36" spans="1:10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</row>
    <row r="37" spans="1:10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</row>
    <row r="38" spans="1:10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</row>
    <row r="39" spans="1:10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</row>
    <row r="40" spans="1:10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</row>
    <row r="41" spans="1:10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</row>
    <row r="42" spans="1:10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</row>
    <row r="43" spans="1:10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</row>
    <row r="44" spans="1:10" x14ac:dyDescent="0.25">
      <c r="D44" s="1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1"/>
  <sheetViews>
    <sheetView workbookViewId="0"/>
  </sheetViews>
  <sheetFormatPr defaultRowHeight="15.75" x14ac:dyDescent="0.25"/>
  <cols>
    <col min="1" max="1" width="9.140625" style="3"/>
    <col min="2" max="2" width="10.85546875" style="3" customWidth="1"/>
    <col min="3" max="3" width="10.7109375" style="3" customWidth="1"/>
    <col min="4" max="4" width="15.7109375" style="3" bestFit="1" customWidth="1"/>
    <col min="5" max="5" width="11.5703125" style="3" bestFit="1" customWidth="1"/>
    <col min="6" max="6" width="11.42578125" style="3" customWidth="1"/>
    <col min="7" max="7" width="12.7109375" style="3" bestFit="1" customWidth="1"/>
    <col min="8" max="8" width="11.85546875" style="3" customWidth="1"/>
    <col min="9" max="9" width="11.5703125" style="3" bestFit="1" customWidth="1"/>
    <col min="10" max="16384" width="9.140625" style="3"/>
  </cols>
  <sheetData>
    <row r="1" spans="1:10" x14ac:dyDescent="0.25">
      <c r="A1" s="2" t="s">
        <v>68</v>
      </c>
      <c r="F1" s="4"/>
    </row>
    <row r="2" spans="1:10" x14ac:dyDescent="0.25">
      <c r="A2" s="2"/>
      <c r="F2" s="4"/>
    </row>
    <row r="3" spans="1:10" x14ac:dyDescent="0.25">
      <c r="A3" s="3" t="s">
        <v>20</v>
      </c>
    </row>
    <row r="4" spans="1:10" s="16" customFormat="1" x14ac:dyDescent="0.25">
      <c r="D4" s="16" t="s">
        <v>21</v>
      </c>
      <c r="I4" s="16" t="s">
        <v>24</v>
      </c>
    </row>
    <row r="5" spans="1:10" s="16" customFormat="1" x14ac:dyDescent="0.25">
      <c r="A5" s="9" t="s">
        <v>25</v>
      </c>
      <c r="B5" s="10"/>
      <c r="C5" s="10"/>
      <c r="D5" s="10" t="s">
        <v>22</v>
      </c>
      <c r="E5" s="10"/>
      <c r="F5" s="10" t="s">
        <v>23</v>
      </c>
      <c r="G5" s="10"/>
      <c r="I5" s="10" t="s">
        <v>23</v>
      </c>
      <c r="J5" s="10"/>
    </row>
    <row r="6" spans="1:10" x14ac:dyDescent="0.25">
      <c r="A6" s="3" t="s">
        <v>26</v>
      </c>
      <c r="D6" s="5">
        <v>350000</v>
      </c>
      <c r="F6" s="3" t="s">
        <v>31</v>
      </c>
      <c r="I6" s="11">
        <v>225</v>
      </c>
    </row>
    <row r="7" spans="1:10" x14ac:dyDescent="0.25">
      <c r="A7" s="3" t="s">
        <v>27</v>
      </c>
      <c r="D7" s="11">
        <v>125000</v>
      </c>
      <c r="E7" s="5"/>
      <c r="F7" s="3" t="s">
        <v>32</v>
      </c>
      <c r="I7" s="11">
        <v>25000</v>
      </c>
      <c r="J7" s="3" t="s">
        <v>36</v>
      </c>
    </row>
    <row r="8" spans="1:10" ht="18" x14ac:dyDescent="0.4">
      <c r="A8" s="3" t="s">
        <v>28</v>
      </c>
      <c r="D8" s="11">
        <v>75000</v>
      </c>
      <c r="E8" s="6"/>
      <c r="F8" s="3" t="s">
        <v>33</v>
      </c>
      <c r="I8" s="11">
        <v>7500</v>
      </c>
      <c r="J8" s="3" t="s">
        <v>36</v>
      </c>
    </row>
    <row r="9" spans="1:10" ht="18" x14ac:dyDescent="0.4">
      <c r="A9" s="3" t="s">
        <v>29</v>
      </c>
      <c r="D9" s="11">
        <v>110000</v>
      </c>
      <c r="E9" s="7"/>
      <c r="F9" s="3" t="s">
        <v>34</v>
      </c>
      <c r="I9" s="11">
        <v>400</v>
      </c>
    </row>
    <row r="10" spans="1:10" x14ac:dyDescent="0.25">
      <c r="A10" s="3" t="s">
        <v>30</v>
      </c>
      <c r="D10" s="11">
        <v>400000</v>
      </c>
      <c r="F10" s="3" t="s">
        <v>35</v>
      </c>
      <c r="I10" s="11">
        <v>30000</v>
      </c>
    </row>
    <row r="11" spans="1:10" x14ac:dyDescent="0.25">
      <c r="D11" s="5"/>
    </row>
    <row r="12" spans="1:10" x14ac:dyDescent="0.25">
      <c r="A12" s="3" t="s">
        <v>37</v>
      </c>
    </row>
    <row r="14" spans="1:10" x14ac:dyDescent="0.25">
      <c r="A14" s="3" t="s">
        <v>38</v>
      </c>
    </row>
    <row r="15" spans="1:10" x14ac:dyDescent="0.25">
      <c r="C15" s="3" t="str">
        <f>A6</f>
        <v>Machine set ups</v>
      </c>
      <c r="E15" s="17">
        <v>10</v>
      </c>
      <c r="F15" s="3" t="s">
        <v>39</v>
      </c>
    </row>
    <row r="16" spans="1:10" x14ac:dyDescent="0.25">
      <c r="C16" s="3" t="str">
        <f>A7</f>
        <v>Materials handling</v>
      </c>
      <c r="E16" s="17">
        <v>2500</v>
      </c>
      <c r="F16" s="3" t="str">
        <f>J7</f>
        <v>kilograms</v>
      </c>
    </row>
    <row r="17" spans="1:11" x14ac:dyDescent="0.25">
      <c r="C17" s="3" t="str">
        <f>A8</f>
        <v>Waste control</v>
      </c>
      <c r="E17" s="17">
        <v>300</v>
      </c>
      <c r="F17" s="3" t="str">
        <f>J8</f>
        <v>kilograms</v>
      </c>
    </row>
    <row r="18" spans="1:11" x14ac:dyDescent="0.25">
      <c r="C18" s="3" t="str">
        <f>A9</f>
        <v>Quality control</v>
      </c>
      <c r="D18" s="4"/>
      <c r="E18" s="17">
        <v>4</v>
      </c>
      <c r="F18" s="3" t="s">
        <v>40</v>
      </c>
    </row>
    <row r="19" spans="1:11" x14ac:dyDescent="0.25">
      <c r="C19" s="3" t="str">
        <f>A10</f>
        <v>Other overhead costs</v>
      </c>
      <c r="D19" s="14"/>
      <c r="E19" s="17">
        <v>750</v>
      </c>
      <c r="F19" s="12" t="s">
        <v>41</v>
      </c>
    </row>
    <row r="20" spans="1:11" x14ac:dyDescent="0.25">
      <c r="D20" s="14"/>
      <c r="E20" s="14"/>
      <c r="F20" s="12"/>
    </row>
    <row r="21" spans="1:11" x14ac:dyDescent="0.25">
      <c r="D21" s="14"/>
      <c r="E21" s="14"/>
      <c r="F21" s="12"/>
    </row>
    <row r="24" spans="1:11" x14ac:dyDescent="0.25">
      <c r="A24" s="18" t="s">
        <v>44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</row>
    <row r="25" spans="1:11" x14ac:dyDescent="0.25">
      <c r="A25" s="18" t="s">
        <v>42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</row>
    <row r="26" spans="1:11" x14ac:dyDescent="0.25">
      <c r="A26" s="18" t="s">
        <v>43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</row>
    <row r="27" spans="1:1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workbookViewId="0"/>
  </sheetViews>
  <sheetFormatPr defaultRowHeight="15.75" x14ac:dyDescent="0.25"/>
  <cols>
    <col min="1" max="1" width="9.140625" style="3"/>
    <col min="2" max="2" width="10.7109375" style="3" customWidth="1"/>
    <col min="3" max="3" width="11.140625" style="3" customWidth="1"/>
    <col min="4" max="4" width="14" style="3" bestFit="1" customWidth="1"/>
    <col min="5" max="5" width="11.5703125" style="3" bestFit="1" customWidth="1"/>
    <col min="6" max="6" width="9.85546875" style="3" bestFit="1" customWidth="1"/>
    <col min="7" max="7" width="11.85546875" style="3" customWidth="1"/>
    <col min="8" max="16384" width="9.140625" style="3"/>
  </cols>
  <sheetData>
    <row r="1" spans="1:8" x14ac:dyDescent="0.25">
      <c r="A1" s="2" t="s">
        <v>69</v>
      </c>
      <c r="F1" s="4"/>
    </row>
    <row r="2" spans="1:8" x14ac:dyDescent="0.25">
      <c r="A2" s="2"/>
      <c r="F2" s="4"/>
    </row>
    <row r="3" spans="1:8" x14ac:dyDescent="0.25">
      <c r="A3" s="3" t="s">
        <v>45</v>
      </c>
    </row>
    <row r="4" spans="1:8" x14ac:dyDescent="0.25">
      <c r="A4" s="3" t="s">
        <v>46</v>
      </c>
    </row>
    <row r="5" spans="1:8" x14ac:dyDescent="0.25">
      <c r="A5" s="16"/>
      <c r="B5" s="16"/>
      <c r="C5" s="16"/>
      <c r="D5" s="16"/>
      <c r="E5" s="16"/>
      <c r="F5" s="16"/>
      <c r="G5" s="16"/>
      <c r="H5" s="16" t="s">
        <v>48</v>
      </c>
    </row>
    <row r="6" spans="1:8" x14ac:dyDescent="0.25">
      <c r="A6" s="9"/>
      <c r="B6" s="10"/>
      <c r="C6" s="10"/>
      <c r="D6" s="10" t="s">
        <v>47</v>
      </c>
      <c r="E6" s="10"/>
      <c r="F6" s="10" t="s">
        <v>23</v>
      </c>
      <c r="G6" s="10"/>
      <c r="H6" s="10" t="s">
        <v>54</v>
      </c>
    </row>
    <row r="7" spans="1:8" x14ac:dyDescent="0.25">
      <c r="A7" s="3" t="s">
        <v>49</v>
      </c>
      <c r="D7" s="5">
        <v>120000</v>
      </c>
      <c r="F7" s="3" t="s">
        <v>35</v>
      </c>
      <c r="H7" s="11">
        <v>5000</v>
      </c>
    </row>
    <row r="8" spans="1:8" x14ac:dyDescent="0.25">
      <c r="A8" s="3" t="s">
        <v>27</v>
      </c>
      <c r="D8" s="11">
        <v>18000</v>
      </c>
      <c r="E8" s="5"/>
      <c r="F8" s="3" t="s">
        <v>52</v>
      </c>
      <c r="H8" s="11">
        <v>600</v>
      </c>
    </row>
    <row r="9" spans="1:8" ht="18" x14ac:dyDescent="0.4">
      <c r="A9" s="3" t="s">
        <v>50</v>
      </c>
      <c r="D9" s="11">
        <v>16000</v>
      </c>
      <c r="E9" s="6"/>
      <c r="F9" s="3" t="s">
        <v>50</v>
      </c>
      <c r="H9" s="11">
        <v>200</v>
      </c>
    </row>
    <row r="10" spans="1:8" ht="18" x14ac:dyDescent="0.4">
      <c r="A10" s="3" t="s">
        <v>51</v>
      </c>
      <c r="D10" s="11">
        <v>60000</v>
      </c>
      <c r="E10" s="7"/>
      <c r="F10" s="3" t="s">
        <v>53</v>
      </c>
      <c r="H10" s="11">
        <v>1000</v>
      </c>
    </row>
    <row r="12" spans="1:8" x14ac:dyDescent="0.25">
      <c r="A12" s="3" t="s">
        <v>55</v>
      </c>
    </row>
    <row r="13" spans="1:8" x14ac:dyDescent="0.25">
      <c r="A13" s="3" t="s">
        <v>56</v>
      </c>
      <c r="D13" s="19">
        <v>20000</v>
      </c>
    </row>
    <row r="14" spans="1:8" x14ac:dyDescent="0.25">
      <c r="A14" s="3" t="s">
        <v>57</v>
      </c>
    </row>
    <row r="15" spans="1:8" x14ac:dyDescent="0.25">
      <c r="A15" s="3" t="s">
        <v>58</v>
      </c>
    </row>
    <row r="17" spans="1:12" x14ac:dyDescent="0.25">
      <c r="A17" s="3" t="s">
        <v>59</v>
      </c>
    </row>
    <row r="18" spans="1:12" x14ac:dyDescent="0.25">
      <c r="B18" s="3" t="s">
        <v>60</v>
      </c>
      <c r="E18" s="5">
        <v>2000</v>
      </c>
    </row>
    <row r="19" spans="1:12" x14ac:dyDescent="0.25">
      <c r="B19" s="3" t="s">
        <v>61</v>
      </c>
      <c r="E19" s="5">
        <v>6000</v>
      </c>
    </row>
    <row r="20" spans="1:12" x14ac:dyDescent="0.25">
      <c r="B20" s="3" t="s">
        <v>62</v>
      </c>
      <c r="E20" s="13">
        <v>600</v>
      </c>
    </row>
    <row r="21" spans="1:12" x14ac:dyDescent="0.25">
      <c r="B21" s="3" t="s">
        <v>63</v>
      </c>
      <c r="E21" s="13">
        <v>4</v>
      </c>
    </row>
    <row r="22" spans="1:12" x14ac:dyDescent="0.25">
      <c r="B22" s="3" t="s">
        <v>34</v>
      </c>
      <c r="E22" s="13">
        <v>6</v>
      </c>
    </row>
    <row r="23" spans="1:12" x14ac:dyDescent="0.25">
      <c r="B23" s="3" t="s">
        <v>31</v>
      </c>
      <c r="E23" s="13">
        <v>8</v>
      </c>
    </row>
    <row r="24" spans="1:12" x14ac:dyDescent="0.25">
      <c r="B24" s="3" t="s">
        <v>64</v>
      </c>
      <c r="E24" s="13">
        <v>80</v>
      </c>
    </row>
    <row r="26" spans="1:12" x14ac:dyDescent="0.25">
      <c r="A26" s="15" t="s">
        <v>65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x14ac:dyDescent="0.25">
      <c r="A27" s="15" t="s">
        <v>70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</row>
    <row r="29" spans="1:12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</row>
    <row r="34" spans="1:12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</row>
    <row r="35" spans="1:12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</row>
    <row r="36" spans="1:12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</row>
    <row r="37" spans="1:12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</row>
    <row r="39" spans="1:12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</row>
    <row r="40" spans="1:12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</row>
    <row r="41" spans="1:12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</row>
    <row r="42" spans="1:12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</row>
    <row r="43" spans="1:12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</row>
    <row r="45" spans="1:12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</row>
    <row r="46" spans="1:12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</row>
    <row r="47" spans="1:12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</row>
    <row r="48" spans="1:12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</row>
    <row r="49" spans="1:12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spans="1:12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</row>
    <row r="51" spans="1:12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</row>
    <row r="52" spans="1:12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</row>
    <row r="53" spans="1:12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</row>
    <row r="54" spans="1:12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</row>
    <row r="55" spans="1:12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</row>
    <row r="56" spans="1:12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</row>
    <row r="57" spans="1:12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spans="1:12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</row>
    <row r="59" spans="1:12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</row>
    <row r="60" spans="1:12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</row>
    <row r="61" spans="1:12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</row>
    <row r="62" spans="1:12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</row>
    <row r="63" spans="1:12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</row>
    <row r="64" spans="1:12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</row>
    <row r="65" spans="1:12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spans="1:12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</row>
    <row r="67" spans="1:12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</row>
    <row r="68" spans="1:12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</row>
    <row r="69" spans="1:12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</row>
    <row r="70" spans="1:12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</row>
    <row r="71" spans="1:12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</row>
    <row r="72" spans="1:12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</row>
    <row r="73" spans="1:12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</row>
    <row r="74" spans="1:12" x14ac:dyDescent="0.2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</row>
    <row r="75" spans="1:12" x14ac:dyDescent="0.2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</row>
    <row r="76" spans="1:12" x14ac:dyDescent="0.2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</row>
    <row r="77" spans="1:12" x14ac:dyDescent="0.2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</row>
    <row r="78" spans="1:12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</row>
    <row r="79" spans="1:12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</row>
    <row r="80" spans="1:12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</row>
    <row r="81" spans="1:12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</row>
    <row r="82" spans="1:12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</row>
    <row r="83" spans="1:12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</row>
    <row r="84" spans="1:12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</row>
    <row r="85" spans="1:12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</row>
    <row r="86" spans="1:12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>
      <selection activeCell="A25" sqref="A25"/>
    </sheetView>
  </sheetViews>
  <sheetFormatPr defaultRowHeight="15.75" x14ac:dyDescent="0.25"/>
  <cols>
    <col min="1" max="4" width="9.140625" style="15"/>
    <col min="5" max="6" width="9.5703125" style="15" bestFit="1" customWidth="1"/>
    <col min="7" max="16384" width="9.140625" style="15"/>
  </cols>
  <sheetData>
    <row r="1" spans="1:6" x14ac:dyDescent="0.25">
      <c r="A1" s="20" t="s">
        <v>71</v>
      </c>
    </row>
    <row r="3" spans="1:6" x14ac:dyDescent="0.25">
      <c r="A3" s="15" t="s">
        <v>72</v>
      </c>
    </row>
    <row r="4" spans="1:6" x14ac:dyDescent="0.25">
      <c r="A4" s="15" t="s">
        <v>73</v>
      </c>
    </row>
    <row r="5" spans="1:6" x14ac:dyDescent="0.25">
      <c r="A5" s="15" t="s">
        <v>74</v>
      </c>
    </row>
    <row r="6" spans="1:6" x14ac:dyDescent="0.25">
      <c r="E6" s="23" t="s">
        <v>66</v>
      </c>
      <c r="F6" s="23" t="s">
        <v>77</v>
      </c>
    </row>
    <row r="7" spans="1:6" x14ac:dyDescent="0.25">
      <c r="B7" s="15" t="s">
        <v>75</v>
      </c>
      <c r="E7" s="21">
        <v>320000</v>
      </c>
      <c r="F7" s="21">
        <v>700000</v>
      </c>
    </row>
    <row r="8" spans="1:6" x14ac:dyDescent="0.25">
      <c r="B8" s="15" t="s">
        <v>35</v>
      </c>
      <c r="E8" s="22">
        <v>800000</v>
      </c>
      <c r="F8" s="22">
        <v>50000</v>
      </c>
    </row>
    <row r="9" spans="1:6" x14ac:dyDescent="0.25">
      <c r="B9" s="15" t="s">
        <v>76</v>
      </c>
      <c r="E9" s="22">
        <v>40000</v>
      </c>
      <c r="F9" s="22">
        <v>20000</v>
      </c>
    </row>
    <row r="11" spans="1:6" x14ac:dyDescent="0.25">
      <c r="A11" s="15" t="s">
        <v>78</v>
      </c>
    </row>
    <row r="12" spans="1:6" x14ac:dyDescent="0.25">
      <c r="A12" s="15" t="s">
        <v>79</v>
      </c>
    </row>
    <row r="13" spans="1:6" x14ac:dyDescent="0.25">
      <c r="B13" s="15" t="s">
        <v>80</v>
      </c>
    </row>
    <row r="14" spans="1:6" x14ac:dyDescent="0.25">
      <c r="A14" s="15" t="s">
        <v>81</v>
      </c>
    </row>
    <row r="15" spans="1:6" x14ac:dyDescent="0.25">
      <c r="A15" s="15" t="s">
        <v>82</v>
      </c>
    </row>
    <row r="17" spans="1:6" x14ac:dyDescent="0.25">
      <c r="E17" s="23" t="s">
        <v>66</v>
      </c>
      <c r="F17" s="23" t="s">
        <v>77</v>
      </c>
    </row>
    <row r="18" spans="1:6" x14ac:dyDescent="0.25">
      <c r="B18" s="15" t="s">
        <v>35</v>
      </c>
      <c r="E18" s="22">
        <v>4</v>
      </c>
      <c r="F18" s="22">
        <v>2</v>
      </c>
    </row>
    <row r="19" spans="1:6" x14ac:dyDescent="0.25">
      <c r="B19" s="15" t="s">
        <v>76</v>
      </c>
      <c r="E19" s="22">
        <v>2</v>
      </c>
      <c r="F19" s="22">
        <v>4</v>
      </c>
    </row>
    <row r="21" spans="1:6" x14ac:dyDescent="0.25">
      <c r="A21" s="15" t="s">
        <v>83</v>
      </c>
    </row>
    <row r="22" spans="1:6" x14ac:dyDescent="0.25">
      <c r="B22" s="15" t="s">
        <v>84</v>
      </c>
    </row>
    <row r="23" spans="1:6" x14ac:dyDescent="0.25">
      <c r="A23" s="15" t="s">
        <v>85</v>
      </c>
    </row>
    <row r="24" spans="1:6" x14ac:dyDescent="0.25">
      <c r="B24" s="1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 7-11</vt:lpstr>
      <vt:lpstr>Ex 7-23</vt:lpstr>
      <vt:lpstr>Ex 7-26</vt:lpstr>
      <vt:lpstr>Ex 7-27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Else Grech</cp:lastModifiedBy>
  <dcterms:created xsi:type="dcterms:W3CDTF">2022-05-09T18:36:24Z</dcterms:created>
  <dcterms:modified xsi:type="dcterms:W3CDTF">2026-01-06T22:10:01Z</dcterms:modified>
</cp:coreProperties>
</file>